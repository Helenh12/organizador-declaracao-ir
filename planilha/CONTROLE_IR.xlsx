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HHO\organizador-declaracao-ir\organizador-declaracao-ir\planilha\"/>
    </mc:Choice>
  </mc:AlternateContent>
  <xr:revisionPtr revIDLastSave="0" documentId="13_ncr:1_{5940D52D-A078-4A4D-83BE-EAFC826A836A}" xr6:coauthVersionLast="47" xr6:coauthVersionMax="47" xr10:uidLastSave="{00000000-0000-0000-0000-000000000000}"/>
  <bookViews>
    <workbookView xWindow="-120" yWindow="-120" windowWidth="29040" windowHeight="15840" tabRatio="0" xr2:uid="{8FDBAAEF-8D87-475C-9953-50319B4D4BB0}"/>
  </bookViews>
  <sheets>
    <sheet name="TITULAR" sheetId="1" r:id="rId1"/>
    <sheet name="INFORMES" sheetId="5" r:id="rId2"/>
    <sheet name="NOTAS" sheetId="6" r:id="rId3"/>
    <sheet name="Apoio" sheetId="2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0" i="6" l="1"/>
  <c r="F9" i="6"/>
  <c r="F8" i="6"/>
  <c r="F7" i="6"/>
  <c r="F6" i="6"/>
  <c r="F5" i="6"/>
  <c r="E6" i="5"/>
  <c r="E7" i="5"/>
  <c r="G10" i="5"/>
  <c r="F10" i="5"/>
</calcChain>
</file>

<file path=xl/sharedStrings.xml><?xml version="1.0" encoding="utf-8"?>
<sst xmlns="http://schemas.openxmlformats.org/spreadsheetml/2006/main" count="122" uniqueCount="106">
  <si>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</si>
  <si>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</si>
  <si>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</si>
  <si>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</si>
  <si>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</si>
  <si>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</si>
  <si>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</si>
  <si>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</si>
  <si>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</si>
  <si>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</si>
  <si>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</si>
  <si>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</si>
  <si>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</si>
  <si>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</si>
  <si>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</si>
  <si>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</si>
  <si>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</si>
  <si>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</si>
  <si>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</si>
  <si>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</si>
  <si>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</si>
  <si>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</si>
  <si>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</si>
  <si>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</si>
  <si>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</si>
  <si>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</si>
  <si>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</si>
  <si>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</si>
  <si>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</si>
  <si>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</si>
  <si>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</si>
  <si>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</si>
  <si>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</si>
  <si>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</si>
  <si>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</si>
  <si>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</si>
  <si>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</si>
  <si>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</si>
  <si>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</si>
  <si>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</si>
  <si>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</si>
  <si>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</si>
  <si>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</si>
  <si>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</si>
  <si>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</si>
  <si>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</si>
  <si>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</si>
  <si>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</si>
  <si>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</si>
  <si>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</si>
  <si>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</si>
  <si>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CORES</t>
  </si>
  <si>
    <t>#33605a</t>
  </si>
  <si>
    <t>#91a398</t>
  </si>
  <si>
    <t>#e9e0d1</t>
  </si>
  <si>
    <t>#68462b</t>
  </si>
  <si>
    <t>Nome</t>
  </si>
  <si>
    <t>CPF</t>
  </si>
  <si>
    <t>Nascimento</t>
  </si>
  <si>
    <t>Título de eleitor</t>
  </si>
  <si>
    <t>Rua</t>
  </si>
  <si>
    <t>CEP</t>
  </si>
  <si>
    <t>Celular</t>
  </si>
  <si>
    <t>E-mail</t>
  </si>
  <si>
    <t>CPF Cônjuge</t>
  </si>
  <si>
    <t>Cônjuge</t>
  </si>
  <si>
    <t>Houve alterações da entrega anterior</t>
  </si>
  <si>
    <t>Dependente cônjuge</t>
  </si>
  <si>
    <t>Dados Pessoais Titular</t>
  </si>
  <si>
    <t>Flávio Silva</t>
  </si>
  <si>
    <t>Rua Dos limoeiros. Ruan, - Nº 180</t>
  </si>
  <si>
    <t>flavio_silva@meuir.com.br</t>
  </si>
  <si>
    <t>Maria Joana Silva</t>
  </si>
  <si>
    <t>SIM</t>
  </si>
  <si>
    <t>INFORMES DE RENDIMENTOS BANCÁRIOS</t>
  </si>
  <si>
    <t>Total dos Informes</t>
  </si>
  <si>
    <t>Bancos lançados</t>
  </si>
  <si>
    <t>Nº</t>
  </si>
  <si>
    <t>BANCO</t>
  </si>
  <si>
    <t>Ano</t>
  </si>
  <si>
    <t>TIPO DE CONTA</t>
  </si>
  <si>
    <t>Conta corrente</t>
  </si>
  <si>
    <t>Conta de pagamento (carteira digital)</t>
  </si>
  <si>
    <t>Poupança</t>
  </si>
  <si>
    <t>CDB</t>
  </si>
  <si>
    <t>LCI / LCA</t>
  </si>
  <si>
    <t>Fundo de investimento</t>
  </si>
  <si>
    <t>Previdência privada (PGBL / VGBL)</t>
  </si>
  <si>
    <t>Ações e corretora</t>
  </si>
  <si>
    <t>OBS/DESCRIÇÃO</t>
  </si>
  <si>
    <t>CDB Itaú</t>
  </si>
  <si>
    <t>RURA11</t>
  </si>
  <si>
    <t>MXRF11</t>
  </si>
  <si>
    <t>NOTAS E INFORMES DE RENDIMENTOS</t>
  </si>
  <si>
    <t>DATA</t>
  </si>
  <si>
    <t>CATEGORIA</t>
  </si>
  <si>
    <t>VALOR</t>
  </si>
  <si>
    <t>Holerite</t>
  </si>
  <si>
    <t>CNPJ</t>
  </si>
  <si>
    <t>Freelance</t>
  </si>
  <si>
    <t>IR RETIDO</t>
  </si>
  <si>
    <t>TOTAL DE ENTRADAS</t>
  </si>
  <si>
    <t>FREELANCE</t>
  </si>
  <si>
    <t>LANÇAMENTOS</t>
  </si>
  <si>
    <t>TOTAL DE IR RETIDO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</si>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</sst>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&quot;(&quot;00&quot;)&quot;00000&quot;-&quot;0000"/>
    <numFmt numFmtId="166" formatCode="00000&quot;-&quot;000"/>
    <numFmt numFmtId="167" formatCode="[$-416]mmm\-yy;@"/>
  </numFmts>
  <fonts count="14" x14ac:knownFonts="1"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rgb="FF33605A"/>
      <name val="Aptos Narrow"/>
      <family val="2"/>
      <scheme val="minor"/>
    </font>
    <font>
      <b/>
      <sz val="22"/>
      <color rgb="FF33605A"/>
      <name val="Segoe UI"/>
      <family val="2"/>
    </font>
    <font>
      <sz val="11"/>
      <color theme="1"/>
      <name val="Segoe UI"/>
      <family val="2"/>
    </font>
    <font>
      <b/>
      <sz val="16"/>
      <color rgb="FF33605A"/>
      <name val="Segoe UI"/>
      <family val="2"/>
    </font>
    <font>
      <b/>
      <sz val="13"/>
      <color rgb="FF33605A"/>
      <name val="Segoe UI"/>
      <family val="2"/>
    </font>
    <font>
      <sz val="12"/>
      <color rgb="FFE9E0D1"/>
      <name val="Segoe UI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E9E0D1"/>
      <name val="Segoe UI"/>
      <family val="2"/>
    </font>
    <font>
      <b/>
      <sz val="11"/>
      <color theme="1"/>
      <name val="Segoe UI"/>
      <family val="2"/>
    </font>
    <font>
      <b/>
      <sz val="12"/>
      <color rgb="FFE9E0D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33605A"/>
        <bgColor indexed="64"/>
      </patternFill>
    </fill>
    <fill>
      <patternFill patternType="solid">
        <fgColor rgb="FF91A398"/>
        <bgColor indexed="64"/>
      </patternFill>
    </fill>
    <fill>
      <patternFill patternType="solid">
        <fgColor rgb="FFE9E0D1"/>
        <bgColor indexed="64"/>
      </patternFill>
    </fill>
    <fill>
      <patternFill patternType="solid">
        <fgColor rgb="FF68462B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rgb="FF33605A"/>
      </bottom>
      <diagonal/>
    </border>
    <border>
      <left/>
      <right/>
      <top/>
      <bottom style="thick">
        <color rgb="FF33605A"/>
      </bottom>
      <diagonal/>
    </border>
    <border>
      <left/>
      <right/>
      <top style="thin">
        <color rgb="FF33605A"/>
      </top>
      <bottom style="thin">
        <color rgb="FF33605A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9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5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6" borderId="0" xfId="0" applyFont="1" applyFill="1" applyAlignment="1">
      <alignment horizontal="center"/>
    </xf>
    <xf numFmtId="0" fontId="0" fillId="6" borderId="0" xfId="0" applyFill="1"/>
    <xf numFmtId="0" fontId="4" fillId="6" borderId="0" xfId="0" applyFont="1" applyFill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right"/>
    </xf>
    <xf numFmtId="0" fontId="5" fillId="6" borderId="0" xfId="0" applyFont="1" applyFill="1"/>
    <xf numFmtId="0" fontId="7" fillId="0" borderId="3" xfId="1" applyFont="1" applyBorder="1"/>
    <xf numFmtId="0" fontId="8" fillId="2" borderId="0" xfId="0" applyFont="1" applyFill="1" applyAlignment="1">
      <alignment horizontal="right"/>
    </xf>
    <xf numFmtId="0" fontId="8" fillId="2" borderId="0" xfId="0" applyFont="1" applyFill="1" applyAlignment="1">
      <alignment horizontal="right" wrapText="1"/>
    </xf>
    <xf numFmtId="0" fontId="8" fillId="2" borderId="2" xfId="0" applyFont="1" applyFill="1" applyBorder="1" applyAlignment="1">
      <alignment horizontal="right"/>
    </xf>
    <xf numFmtId="0" fontId="8" fillId="2" borderId="4" xfId="0" applyFont="1" applyFill="1" applyBorder="1" applyAlignment="1">
      <alignment horizontal="right"/>
    </xf>
    <xf numFmtId="0" fontId="6" fillId="0" borderId="3" xfId="1" applyFont="1" applyBorder="1" applyAlignment="1">
      <alignment horizontal="left"/>
    </xf>
    <xf numFmtId="0" fontId="5" fillId="6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44" fontId="5" fillId="0" borderId="2" xfId="2" applyFont="1" applyBorder="1" applyAlignment="1">
      <alignment horizontal="center"/>
    </xf>
    <xf numFmtId="44" fontId="5" fillId="0" borderId="4" xfId="2" applyFont="1" applyBorder="1" applyAlignment="1">
      <alignment horizontal="center"/>
    </xf>
    <xf numFmtId="44" fontId="12" fillId="4" borderId="0" xfId="2" applyFont="1" applyFill="1" applyAlignment="1">
      <alignment horizontal="center"/>
    </xf>
    <xf numFmtId="0" fontId="12" fillId="4" borderId="0" xfId="0" applyFont="1" applyFill="1" applyAlignment="1">
      <alignment horizontal="center"/>
    </xf>
    <xf numFmtId="0" fontId="13" fillId="2" borderId="0" xfId="0" applyFont="1" applyFill="1" applyAlignment="1">
      <alignment horizontal="left"/>
    </xf>
    <xf numFmtId="0" fontId="5" fillId="7" borderId="2" xfId="0" applyFont="1" applyFill="1" applyBorder="1" applyAlignment="1">
      <alignment horizontal="left"/>
    </xf>
    <xf numFmtId="0" fontId="5" fillId="7" borderId="2" xfId="0" applyFont="1" applyFill="1" applyBorder="1"/>
    <xf numFmtId="164" fontId="5" fillId="7" borderId="4" xfId="0" applyNumberFormat="1" applyFont="1" applyFill="1" applyBorder="1" applyAlignment="1">
      <alignment horizontal="left"/>
    </xf>
    <xf numFmtId="14" fontId="5" fillId="7" borderId="4" xfId="0" applyNumberFormat="1" applyFont="1" applyFill="1" applyBorder="1" applyAlignment="1">
      <alignment horizontal="left"/>
    </xf>
    <xf numFmtId="0" fontId="5" fillId="7" borderId="4" xfId="0" applyFont="1" applyFill="1" applyBorder="1" applyAlignment="1">
      <alignment horizontal="left"/>
    </xf>
    <xf numFmtId="166" fontId="5" fillId="7" borderId="4" xfId="0" applyNumberFormat="1" applyFont="1" applyFill="1" applyBorder="1" applyAlignment="1">
      <alignment horizontal="left"/>
    </xf>
    <xf numFmtId="165" fontId="5" fillId="7" borderId="4" xfId="0" applyNumberFormat="1" applyFont="1" applyFill="1" applyBorder="1" applyAlignment="1">
      <alignment horizontal="left"/>
    </xf>
    <xf numFmtId="0" fontId="10" fillId="7" borderId="4" xfId="3" applyFill="1" applyBorder="1" applyAlignment="1">
      <alignment horizontal="left"/>
    </xf>
    <xf numFmtId="0" fontId="5" fillId="7" borderId="4" xfId="0" applyFont="1" applyFill="1" applyBorder="1" applyAlignment="1">
      <alignment horizontal="left" vertical="center"/>
    </xf>
    <xf numFmtId="167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4" fontId="5" fillId="0" borderId="2" xfId="2" applyFont="1" applyBorder="1" applyAlignment="1">
      <alignment horizontal="center" vertical="center"/>
    </xf>
    <xf numFmtId="167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4" fontId="5" fillId="0" borderId="4" xfId="2" applyFont="1" applyBorder="1" applyAlignment="1">
      <alignment horizontal="center" vertical="center"/>
    </xf>
    <xf numFmtId="167" fontId="5" fillId="0" borderId="4" xfId="0" applyNumberFormat="1" applyFont="1" applyBorder="1"/>
    <xf numFmtId="0" fontId="5" fillId="0" borderId="4" xfId="0" applyFont="1" applyBorder="1"/>
    <xf numFmtId="44" fontId="5" fillId="0" borderId="4" xfId="2" applyFont="1" applyBorder="1"/>
    <xf numFmtId="167" fontId="5" fillId="0" borderId="2" xfId="0" applyNumberFormat="1" applyFont="1" applyBorder="1"/>
    <xf numFmtId="0" fontId="5" fillId="0" borderId="2" xfId="0" applyFont="1" applyBorder="1"/>
    <xf numFmtId="44" fontId="5" fillId="0" borderId="2" xfId="2" applyFont="1" applyBorder="1"/>
    <xf numFmtId="167" fontId="5" fillId="0" borderId="0" xfId="0" applyNumberFormat="1" applyFont="1"/>
    <xf numFmtId="0" fontId="13" fillId="2" borderId="0" xfId="0" applyFont="1" applyFill="1" applyAlignment="1">
      <alignment horizontal="center" vertical="center"/>
    </xf>
  </cellXfs>
  <cellStyles count="4">
    <cellStyle name="Hiperlink" xfId="3" builtinId="8"/>
    <cellStyle name="Moeda" xfId="2" builtinId="4"/>
    <cellStyle name="Normal" xfId="0" builtinId="0"/>
    <cellStyle name="Título 2" xfId="1" builtinId="17"/>
  </cellStyles>
  <dxfs count="0"/>
  <tableStyles count="0" defaultTableStyle="TableStyleMedium2" defaultPivotStyle="PivotStyleLight16"/>
  <colors>
    <mruColors>
      <color rgb="FF33605A"/>
      <color rgb="FFE9E0D1"/>
      <color rgb="FF68462B"/>
      <color rgb="FF91A3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7" Type="http://schemas.openxmlformats.org/officeDocument/2006/relationships/image" Target="../media/image4.svg"/><Relationship Id="rId2" Type="http://schemas.openxmlformats.org/officeDocument/2006/relationships/hyperlink" Target="#INFORMES!A1"/><Relationship Id="rId1" Type="http://schemas.openxmlformats.org/officeDocument/2006/relationships/hyperlink" Target="#TITULAR!A1"/><Relationship Id="rId6" Type="http://schemas.openxmlformats.org/officeDocument/2006/relationships/image" Target="../media/image3.png"/><Relationship Id="rId5" Type="http://schemas.openxmlformats.org/officeDocument/2006/relationships/image" Target="../media/image2.svg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NOTAS!A1"/><Relationship Id="rId1" Type="http://schemas.openxmlformats.org/officeDocument/2006/relationships/hyperlink" Target="#TITULAR!A1"/><Relationship Id="rId6" Type="http://schemas.openxmlformats.org/officeDocument/2006/relationships/image" Target="../media/image4.svg"/><Relationship Id="rId5" Type="http://schemas.openxmlformats.org/officeDocument/2006/relationships/image" Target="../media/image3.png"/><Relationship Id="rId4" Type="http://schemas.openxmlformats.org/officeDocument/2006/relationships/image" Target="../media/image2.sv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INFORMES!A1"/><Relationship Id="rId1" Type="http://schemas.openxmlformats.org/officeDocument/2006/relationships/hyperlink" Target="#TITULAR!A1"/><Relationship Id="rId6" Type="http://schemas.openxmlformats.org/officeDocument/2006/relationships/image" Target="../media/image4.svg"/><Relationship Id="rId5" Type="http://schemas.openxmlformats.org/officeDocument/2006/relationships/image" Target="../media/image3.png"/><Relationship Id="rId4" Type="http://schemas.openxmlformats.org/officeDocument/2006/relationships/image" Target="../media/image2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52388</xdr:colOff>
      <xdr:row>9</xdr:row>
      <xdr:rowOff>76200</xdr:rowOff>
    </xdr:from>
    <xdr:to>
      <xdr:col>0</xdr:col>
      <xdr:colOff>1757363</xdr:colOff>
      <xdr:row>11</xdr:row>
      <xdr:rowOff>85725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163744-2758-65B7-DFBC-A9B2972EC983}"/>
            </a:ext>
          </a:extLst>
        </xdr:cNvPr>
        <xdr:cNvSpPr/>
      </xdr:nvSpPr>
      <xdr:spPr>
        <a:xfrm>
          <a:off x="52388" y="2181225"/>
          <a:ext cx="1704975" cy="447675"/>
        </a:xfrm>
        <a:prstGeom prst="roundRect">
          <a:avLst/>
        </a:prstGeom>
        <a:gradFill flip="none" rotWithShape="1">
          <a:gsLst>
            <a:gs pos="0">
              <a:srgbClr val="33605A">
                <a:shade val="30000"/>
                <a:satMod val="115000"/>
              </a:srgbClr>
            </a:gs>
            <a:gs pos="24000">
              <a:srgbClr val="33605A">
                <a:shade val="67500"/>
                <a:satMod val="115000"/>
              </a:srgbClr>
            </a:gs>
            <a:gs pos="76000">
              <a:srgbClr val="33605A">
                <a:shade val="100000"/>
                <a:satMod val="115000"/>
              </a:srgbClr>
            </a:gs>
          </a:gsLst>
          <a:path path="circle">
            <a:fillToRect l="100000" t="100000"/>
          </a:path>
          <a:tileRect r="-100000" b="-10000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solidFill>
                <a:srgbClr val="E9E0D1"/>
              </a:solidFill>
            </a:rPr>
            <a:t>TITULAR</a:t>
          </a:r>
        </a:p>
      </xdr:txBody>
    </xdr:sp>
    <xdr:clientData/>
  </xdr:twoCellAnchor>
  <xdr:twoCellAnchor editAs="absolute">
    <xdr:from>
      <xdr:col>0</xdr:col>
      <xdr:colOff>52388</xdr:colOff>
      <xdr:row>11</xdr:row>
      <xdr:rowOff>171450</xdr:rowOff>
    </xdr:from>
    <xdr:to>
      <xdr:col>0</xdr:col>
      <xdr:colOff>1757363</xdr:colOff>
      <xdr:row>13</xdr:row>
      <xdr:rowOff>180975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989C796-761E-4E17-9119-1FADD8E01D08}"/>
            </a:ext>
          </a:extLst>
        </xdr:cNvPr>
        <xdr:cNvSpPr/>
      </xdr:nvSpPr>
      <xdr:spPr>
        <a:xfrm>
          <a:off x="52388" y="2714625"/>
          <a:ext cx="1704975" cy="447675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solidFill>
                <a:srgbClr val="E9E0D1"/>
              </a:solidFill>
            </a:rPr>
            <a:t>INFORMES</a:t>
          </a:r>
        </a:p>
      </xdr:txBody>
    </xdr:sp>
    <xdr:clientData/>
  </xdr:twoCellAnchor>
  <xdr:twoCellAnchor editAs="absolute">
    <xdr:from>
      <xdr:col>0</xdr:col>
      <xdr:colOff>52388</xdr:colOff>
      <xdr:row>14</xdr:row>
      <xdr:rowOff>47625</xdr:rowOff>
    </xdr:from>
    <xdr:to>
      <xdr:col>0</xdr:col>
      <xdr:colOff>1757363</xdr:colOff>
      <xdr:row>16</xdr:row>
      <xdr:rowOff>57150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0C8D8C9-EDCD-4D44-A995-4133D146FA01}"/>
            </a:ext>
          </a:extLst>
        </xdr:cNvPr>
        <xdr:cNvSpPr/>
      </xdr:nvSpPr>
      <xdr:spPr>
        <a:xfrm>
          <a:off x="52388" y="3248025"/>
          <a:ext cx="1704975" cy="447675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solidFill>
                <a:srgbClr val="E9E0D1"/>
              </a:solidFill>
            </a:rPr>
            <a:t>NOTAS</a:t>
          </a:r>
        </a:p>
      </xdr:txBody>
    </xdr:sp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304800</xdr:colOff>
      <xdr:row>18</xdr:row>
      <xdr:rowOff>95250</xdr:rowOff>
    </xdr:to>
    <xdr:sp macro="" textlink="">
      <xdr:nvSpPr>
        <xdr:cNvPr id="2051" name="AutoShape 3" descr="Imagens Leão PNG e Vetor, com Fundo Transparente Para ...">
          <a:extLst>
            <a:ext uri="{FF2B5EF4-FFF2-40B4-BE49-F238E27FC236}">
              <a16:creationId xmlns:a16="http://schemas.microsoft.com/office/drawing/2014/main" id="{E6362B23-F112-ECD8-C2B0-418A8002AA09}"/>
            </a:ext>
          </a:extLst>
        </xdr:cNvPr>
        <xdr:cNvSpPr>
          <a:spLocks noChangeAspect="1" noChangeArrowheads="1"/>
        </xdr:cNvSpPr>
      </xdr:nvSpPr>
      <xdr:spPr bwMode="auto">
        <a:xfrm>
          <a:off x="6105525" y="357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0</xdr:colOff>
      <xdr:row>1</xdr:row>
      <xdr:rowOff>38101</xdr:rowOff>
    </xdr:from>
    <xdr:to>
      <xdr:col>1</xdr:col>
      <xdr:colOff>90487</xdr:colOff>
      <xdr:row>4</xdr:row>
      <xdr:rowOff>190500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2B05DFC3-6D48-1217-7D30-E54BC6EC7D72}"/>
            </a:ext>
          </a:extLst>
        </xdr:cNvPr>
        <xdr:cNvSpPr/>
      </xdr:nvSpPr>
      <xdr:spPr>
        <a:xfrm>
          <a:off x="0" y="247651"/>
          <a:ext cx="1928812" cy="952499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pt-BR" sz="2800" b="1" cap="none" spc="0">
              <a:ln w="0"/>
              <a:solidFill>
                <a:srgbClr val="E9E0D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MEU APP IR</a:t>
          </a:r>
        </a:p>
      </xdr:txBody>
    </xdr:sp>
    <xdr:clientData/>
  </xdr:twoCellAnchor>
  <xdr:twoCellAnchor editAs="absolute">
    <xdr:from>
      <xdr:col>0</xdr:col>
      <xdr:colOff>476250</xdr:colOff>
      <xdr:row>5</xdr:row>
      <xdr:rowOff>28574</xdr:rowOff>
    </xdr:from>
    <xdr:to>
      <xdr:col>0</xdr:col>
      <xdr:colOff>1390651</xdr:colOff>
      <xdr:row>9</xdr:row>
      <xdr:rowOff>66675</xdr:rowOff>
    </xdr:to>
    <xdr:pic>
      <xdr:nvPicPr>
        <xdr:cNvPr id="11" name="Gráfico 10" descr="Leão com preenchimento sólido">
          <a:extLst>
            <a:ext uri="{FF2B5EF4-FFF2-40B4-BE49-F238E27FC236}">
              <a16:creationId xmlns:a16="http://schemas.microsoft.com/office/drawing/2014/main" id="{8411E478-1FE1-5E0B-B572-85ABF7402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476250" y="1257299"/>
          <a:ext cx="914401" cy="914401"/>
        </a:xfrm>
        <a:prstGeom prst="rect">
          <a:avLst/>
        </a:prstGeom>
      </xdr:spPr>
    </xdr:pic>
    <xdr:clientData/>
  </xdr:twoCellAnchor>
  <xdr:twoCellAnchor editAs="oneCell">
    <xdr:from>
      <xdr:col>3</xdr:col>
      <xdr:colOff>2009775</xdr:colOff>
      <xdr:row>0</xdr:row>
      <xdr:rowOff>0</xdr:rowOff>
    </xdr:from>
    <xdr:to>
      <xdr:col>3</xdr:col>
      <xdr:colOff>2924175</xdr:colOff>
      <xdr:row>3</xdr:row>
      <xdr:rowOff>123825</xdr:rowOff>
    </xdr:to>
    <xdr:pic>
      <xdr:nvPicPr>
        <xdr:cNvPr id="7" name="Gráfico 6" descr="Seta: curva ligeira com preenchimento sólid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273448D-410C-1931-5095-C4458B4EF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6105525" y="0"/>
          <a:ext cx="914400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52388</xdr:colOff>
      <xdr:row>9</xdr:row>
      <xdr:rowOff>104775</xdr:rowOff>
    </xdr:from>
    <xdr:to>
      <xdr:col>0</xdr:col>
      <xdr:colOff>1757363</xdr:colOff>
      <xdr:row>10</xdr:row>
      <xdr:rowOff>133350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30D71A-DFB1-4E42-B28A-8777195DF791}"/>
            </a:ext>
          </a:extLst>
        </xdr:cNvPr>
        <xdr:cNvSpPr/>
      </xdr:nvSpPr>
      <xdr:spPr>
        <a:xfrm>
          <a:off x="52388" y="2181225"/>
          <a:ext cx="1704975" cy="447675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solidFill>
                <a:srgbClr val="E9E0D1"/>
              </a:solidFill>
            </a:rPr>
            <a:t>TITULAR</a:t>
          </a:r>
        </a:p>
      </xdr:txBody>
    </xdr:sp>
    <xdr:clientData/>
  </xdr:twoCellAnchor>
  <xdr:twoCellAnchor editAs="absolute">
    <xdr:from>
      <xdr:col>0</xdr:col>
      <xdr:colOff>52388</xdr:colOff>
      <xdr:row>10</xdr:row>
      <xdr:rowOff>219075</xdr:rowOff>
    </xdr:from>
    <xdr:to>
      <xdr:col>0</xdr:col>
      <xdr:colOff>1757363</xdr:colOff>
      <xdr:row>12</xdr:row>
      <xdr:rowOff>171450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365D06D4-15E1-4B00-A338-D2FEEA8E64C9}"/>
            </a:ext>
          </a:extLst>
        </xdr:cNvPr>
        <xdr:cNvSpPr/>
      </xdr:nvSpPr>
      <xdr:spPr>
        <a:xfrm>
          <a:off x="52388" y="2714625"/>
          <a:ext cx="1704975" cy="447675"/>
        </a:xfrm>
        <a:prstGeom prst="roundRect">
          <a:avLst/>
        </a:prstGeom>
        <a:solidFill>
          <a:srgbClr val="33605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solidFill>
                <a:srgbClr val="E9E0D1"/>
              </a:solidFill>
            </a:rPr>
            <a:t>INFORMES</a:t>
          </a:r>
        </a:p>
      </xdr:txBody>
    </xdr:sp>
    <xdr:clientData/>
  </xdr:twoCellAnchor>
  <xdr:twoCellAnchor editAs="absolute">
    <xdr:from>
      <xdr:col>0</xdr:col>
      <xdr:colOff>52388</xdr:colOff>
      <xdr:row>13</xdr:row>
      <xdr:rowOff>9525</xdr:rowOff>
    </xdr:from>
    <xdr:to>
      <xdr:col>0</xdr:col>
      <xdr:colOff>1757363</xdr:colOff>
      <xdr:row>14</xdr:row>
      <xdr:rowOff>209550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132517C-9EA8-49DC-8043-C35824D5C5E0}"/>
            </a:ext>
          </a:extLst>
        </xdr:cNvPr>
        <xdr:cNvSpPr/>
      </xdr:nvSpPr>
      <xdr:spPr>
        <a:xfrm>
          <a:off x="52388" y="3248025"/>
          <a:ext cx="1704975" cy="447675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solidFill>
                <a:srgbClr val="E9E0D1"/>
              </a:solidFill>
            </a:rPr>
            <a:t>NOTAS</a:t>
          </a:r>
        </a:p>
      </xdr:txBody>
    </xdr:sp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304800</xdr:colOff>
      <xdr:row>19</xdr:row>
      <xdr:rowOff>57150</xdr:rowOff>
    </xdr:to>
    <xdr:sp macro="" textlink="">
      <xdr:nvSpPr>
        <xdr:cNvPr id="5" name="AutoShape 3" descr="Imagens Leão PNG e Vetor, com Fundo Transparente Para ...">
          <a:extLst>
            <a:ext uri="{FF2B5EF4-FFF2-40B4-BE49-F238E27FC236}">
              <a16:creationId xmlns:a16="http://schemas.microsoft.com/office/drawing/2014/main" id="{B179C103-72F5-4B82-8536-214444B8C114}"/>
            </a:ext>
          </a:extLst>
        </xdr:cNvPr>
        <xdr:cNvSpPr>
          <a:spLocks noChangeAspect="1" noChangeArrowheads="1"/>
        </xdr:cNvSpPr>
      </xdr:nvSpPr>
      <xdr:spPr bwMode="auto">
        <a:xfrm>
          <a:off x="6105525" y="348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0</xdr:colOff>
      <xdr:row>1</xdr:row>
      <xdr:rowOff>38101</xdr:rowOff>
    </xdr:from>
    <xdr:to>
      <xdr:col>1</xdr:col>
      <xdr:colOff>90487</xdr:colOff>
      <xdr:row>4</xdr:row>
      <xdr:rowOff>190500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305FF032-7091-463E-B3EA-71CAA8E875FE}"/>
            </a:ext>
          </a:extLst>
        </xdr:cNvPr>
        <xdr:cNvSpPr/>
      </xdr:nvSpPr>
      <xdr:spPr>
        <a:xfrm>
          <a:off x="0" y="247651"/>
          <a:ext cx="1928812" cy="952499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pt-BR" sz="2800" b="1" cap="none" spc="0">
              <a:ln w="0"/>
              <a:solidFill>
                <a:srgbClr val="E9E0D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MEU APP IR</a:t>
          </a:r>
        </a:p>
      </xdr:txBody>
    </xdr:sp>
    <xdr:clientData/>
  </xdr:twoCellAnchor>
  <xdr:twoCellAnchor editAs="absolute">
    <xdr:from>
      <xdr:col>0</xdr:col>
      <xdr:colOff>476250</xdr:colOff>
      <xdr:row>5</xdr:row>
      <xdr:rowOff>38099</xdr:rowOff>
    </xdr:from>
    <xdr:to>
      <xdr:col>0</xdr:col>
      <xdr:colOff>1390651</xdr:colOff>
      <xdr:row>9</xdr:row>
      <xdr:rowOff>95250</xdr:rowOff>
    </xdr:to>
    <xdr:pic>
      <xdr:nvPicPr>
        <xdr:cNvPr id="7" name="Gráfico 6" descr="Leão com preenchimento sólido">
          <a:extLst>
            <a:ext uri="{FF2B5EF4-FFF2-40B4-BE49-F238E27FC236}">
              <a16:creationId xmlns:a16="http://schemas.microsoft.com/office/drawing/2014/main" id="{F57A4813-5022-46CF-B7E0-70584D89E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76250" y="1257299"/>
          <a:ext cx="914401" cy="914401"/>
        </a:xfrm>
        <a:prstGeom prst="rect">
          <a:avLst/>
        </a:prstGeom>
      </xdr:spPr>
    </xdr:pic>
    <xdr:clientData/>
  </xdr:twoCellAnchor>
  <xdr:twoCellAnchor editAs="oneCell">
    <xdr:from>
      <xdr:col>7</xdr:col>
      <xdr:colOff>685800</xdr:colOff>
      <xdr:row>0</xdr:row>
      <xdr:rowOff>0</xdr:rowOff>
    </xdr:from>
    <xdr:to>
      <xdr:col>7</xdr:col>
      <xdr:colOff>1600200</xdr:colOff>
      <xdr:row>3</xdr:row>
      <xdr:rowOff>123825</xdr:rowOff>
    </xdr:to>
    <xdr:pic>
      <xdr:nvPicPr>
        <xdr:cNvPr id="8" name="Gráfico 7" descr="Seta: curva ligeira com preenchimento sólid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40932E9-0ED3-478D-AB9D-E713851A25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0058400" y="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6</xdr:col>
      <xdr:colOff>923925</xdr:colOff>
      <xdr:row>0</xdr:row>
      <xdr:rowOff>0</xdr:rowOff>
    </xdr:from>
    <xdr:to>
      <xdr:col>7</xdr:col>
      <xdr:colOff>609600</xdr:colOff>
      <xdr:row>3</xdr:row>
      <xdr:rowOff>123825</xdr:rowOff>
    </xdr:to>
    <xdr:pic>
      <xdr:nvPicPr>
        <xdr:cNvPr id="9" name="Gráfico 8" descr="Seta: curva ligeira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067D8A-05BD-4DA4-B0A7-EA15AEC06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 rot="10800000">
          <a:off x="9067800" y="0"/>
          <a:ext cx="914400" cy="914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52388</xdr:colOff>
      <xdr:row>9</xdr:row>
      <xdr:rowOff>95250</xdr:rowOff>
    </xdr:from>
    <xdr:to>
      <xdr:col>0</xdr:col>
      <xdr:colOff>1757363</xdr:colOff>
      <xdr:row>11</xdr:row>
      <xdr:rowOff>114300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262C45-596A-4230-87DF-407B6F1B4350}"/>
            </a:ext>
          </a:extLst>
        </xdr:cNvPr>
        <xdr:cNvSpPr/>
      </xdr:nvSpPr>
      <xdr:spPr>
        <a:xfrm>
          <a:off x="52388" y="2181225"/>
          <a:ext cx="1704975" cy="447675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solidFill>
                <a:srgbClr val="E9E0D1"/>
              </a:solidFill>
            </a:rPr>
            <a:t>TITULAR</a:t>
          </a:r>
        </a:p>
      </xdr:txBody>
    </xdr:sp>
    <xdr:clientData/>
  </xdr:twoCellAnchor>
  <xdr:twoCellAnchor editAs="absolute">
    <xdr:from>
      <xdr:col>0</xdr:col>
      <xdr:colOff>52388</xdr:colOff>
      <xdr:row>11</xdr:row>
      <xdr:rowOff>200025</xdr:rowOff>
    </xdr:from>
    <xdr:to>
      <xdr:col>0</xdr:col>
      <xdr:colOff>1757363</xdr:colOff>
      <xdr:row>13</xdr:row>
      <xdr:rowOff>190500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818823F-3B97-4980-B31E-D66C7DB30748}"/>
            </a:ext>
          </a:extLst>
        </xdr:cNvPr>
        <xdr:cNvSpPr/>
      </xdr:nvSpPr>
      <xdr:spPr>
        <a:xfrm>
          <a:off x="52388" y="2714625"/>
          <a:ext cx="1704975" cy="447675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solidFill>
                <a:srgbClr val="E9E0D1"/>
              </a:solidFill>
            </a:rPr>
            <a:t>INFORMES</a:t>
          </a:r>
        </a:p>
      </xdr:txBody>
    </xdr:sp>
    <xdr:clientData/>
  </xdr:twoCellAnchor>
  <xdr:twoCellAnchor editAs="absolute">
    <xdr:from>
      <xdr:col>0</xdr:col>
      <xdr:colOff>52388</xdr:colOff>
      <xdr:row>14</xdr:row>
      <xdr:rowOff>28575</xdr:rowOff>
    </xdr:from>
    <xdr:to>
      <xdr:col>0</xdr:col>
      <xdr:colOff>1757363</xdr:colOff>
      <xdr:row>15</xdr:row>
      <xdr:rowOff>228600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703F5C74-731F-4156-BEBB-C4BEFDA604EA}"/>
            </a:ext>
          </a:extLst>
        </xdr:cNvPr>
        <xdr:cNvSpPr/>
      </xdr:nvSpPr>
      <xdr:spPr>
        <a:xfrm>
          <a:off x="52388" y="3248025"/>
          <a:ext cx="1704975" cy="447675"/>
        </a:xfrm>
        <a:prstGeom prst="roundRect">
          <a:avLst/>
        </a:prstGeom>
        <a:solidFill>
          <a:srgbClr val="33605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solidFill>
                <a:srgbClr val="E9E0D1"/>
              </a:solidFill>
            </a:rPr>
            <a:t>NOTAS</a:t>
          </a:r>
        </a:p>
      </xdr:txBody>
    </xdr:sp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304800</xdr:colOff>
      <xdr:row>19</xdr:row>
      <xdr:rowOff>57150</xdr:rowOff>
    </xdr:to>
    <xdr:sp macro="" textlink="">
      <xdr:nvSpPr>
        <xdr:cNvPr id="5" name="AutoShape 3" descr="Imagens Leão PNG e Vetor, com Fundo Transparente Para ...">
          <a:extLst>
            <a:ext uri="{FF2B5EF4-FFF2-40B4-BE49-F238E27FC236}">
              <a16:creationId xmlns:a16="http://schemas.microsoft.com/office/drawing/2014/main" id="{FF51AFA7-C1F3-45F9-B761-CEA72D5908CF}"/>
            </a:ext>
          </a:extLst>
        </xdr:cNvPr>
        <xdr:cNvSpPr>
          <a:spLocks noChangeAspect="1" noChangeArrowheads="1"/>
        </xdr:cNvSpPr>
      </xdr:nvSpPr>
      <xdr:spPr bwMode="auto">
        <a:xfrm>
          <a:off x="6105525" y="348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0</xdr:colOff>
      <xdr:row>1</xdr:row>
      <xdr:rowOff>57151</xdr:rowOff>
    </xdr:from>
    <xdr:to>
      <xdr:col>1</xdr:col>
      <xdr:colOff>90487</xdr:colOff>
      <xdr:row>4</xdr:row>
      <xdr:rowOff>209550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449B7FBE-29E0-4B91-9FDF-83DB321216BA}"/>
            </a:ext>
          </a:extLst>
        </xdr:cNvPr>
        <xdr:cNvSpPr/>
      </xdr:nvSpPr>
      <xdr:spPr>
        <a:xfrm>
          <a:off x="0" y="247651"/>
          <a:ext cx="1928812" cy="952499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pt-BR" sz="2800" b="1" cap="none" spc="0">
              <a:ln w="0"/>
              <a:solidFill>
                <a:srgbClr val="E9E0D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MEU APP IR</a:t>
          </a:r>
        </a:p>
      </xdr:txBody>
    </xdr:sp>
    <xdr:clientData/>
  </xdr:twoCellAnchor>
  <xdr:twoCellAnchor editAs="absolute">
    <xdr:from>
      <xdr:col>0</xdr:col>
      <xdr:colOff>476250</xdr:colOff>
      <xdr:row>5</xdr:row>
      <xdr:rowOff>47624</xdr:rowOff>
    </xdr:from>
    <xdr:to>
      <xdr:col>0</xdr:col>
      <xdr:colOff>1390651</xdr:colOff>
      <xdr:row>9</xdr:row>
      <xdr:rowOff>85725</xdr:rowOff>
    </xdr:to>
    <xdr:pic>
      <xdr:nvPicPr>
        <xdr:cNvPr id="7" name="Gráfico 6" descr="Leão com preenchimento sólido">
          <a:extLst>
            <a:ext uri="{FF2B5EF4-FFF2-40B4-BE49-F238E27FC236}">
              <a16:creationId xmlns:a16="http://schemas.microsoft.com/office/drawing/2014/main" id="{5C078409-2FE8-487B-8E32-82C21B878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76250" y="1257299"/>
          <a:ext cx="914401" cy="914401"/>
        </a:xfrm>
        <a:prstGeom prst="rect">
          <a:avLst/>
        </a:prstGeom>
      </xdr:spPr>
    </xdr:pic>
    <xdr:clientData/>
  </xdr:twoCellAnchor>
  <xdr:twoCellAnchor editAs="oneCell">
    <xdr:from>
      <xdr:col>5</xdr:col>
      <xdr:colOff>304800</xdr:colOff>
      <xdr:row>0</xdr:row>
      <xdr:rowOff>0</xdr:rowOff>
    </xdr:from>
    <xdr:to>
      <xdr:col>5</xdr:col>
      <xdr:colOff>1088571</xdr:colOff>
      <xdr:row>3</xdr:row>
      <xdr:rowOff>142875</xdr:rowOff>
    </xdr:to>
    <xdr:pic>
      <xdr:nvPicPr>
        <xdr:cNvPr id="9" name="Gráfico 8" descr="Seta: curva ligeira com preenchimento sólid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AD71528-7F9D-4759-9611-EDDD061CE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 rot="10800000">
          <a:off x="6315075" y="0"/>
          <a:ext cx="783771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flavio_silva@meuir.com.b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DF620-5292-4A5F-9F98-928E4F808ACA}">
  <dimension ref="A2:D17"/>
  <sheetViews>
    <sheetView showGridLines="0" showRowColHeaders="0" tabSelected="1" workbookViewId="0"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6.5" x14ac:dyDescent="0.3"/>
  <cols>
    <col min="1" max="1" width="27.5703125" style="12" customWidth="1"/>
    <col min="2" max="2" width="9.140625" style="10"/>
    <col min="3" max="3" width="24.7109375" style="11" customWidth="1"/>
    <col min="4" max="4" width="44.42578125" style="10" customWidth="1"/>
    <col min="5" max="16384" width="9.140625" style="10"/>
  </cols>
  <sheetData>
    <row r="2" spans="1:4" ht="19.5" customHeight="1" x14ac:dyDescent="0.6">
      <c r="A2" s="9"/>
    </row>
    <row r="3" spans="1:4" ht="26.25" thickBot="1" x14ac:dyDescent="0.55000000000000004">
      <c r="C3" s="18" t="s">
        <v>68</v>
      </c>
      <c r="D3" s="13"/>
    </row>
    <row r="4" spans="1:4" ht="17.25" thickTop="1" x14ac:dyDescent="0.3"/>
    <row r="5" spans="1:4" ht="17.25" x14ac:dyDescent="0.3">
      <c r="C5" s="16" t="s">
        <v>79</v>
      </c>
      <c r="D5" s="31">
        <v>2025</v>
      </c>
    </row>
    <row r="6" spans="1:4" ht="17.25" x14ac:dyDescent="0.3">
      <c r="C6" s="16" t="s">
        <v>56</v>
      </c>
      <c r="D6" s="32" t="s">
        <v>69</v>
      </c>
    </row>
    <row r="7" spans="1:4" ht="17.25" x14ac:dyDescent="0.3">
      <c r="C7" s="17" t="s">
        <v>57</v>
      </c>
      <c r="D7" s="33">
        <v>11122233344</v>
      </c>
    </row>
    <row r="8" spans="1:4" ht="17.25" x14ac:dyDescent="0.3">
      <c r="C8" s="14" t="s">
        <v>58</v>
      </c>
      <c r="D8" s="34">
        <v>29341</v>
      </c>
    </row>
    <row r="9" spans="1:4" ht="17.25" x14ac:dyDescent="0.3">
      <c r="C9" s="14" t="s">
        <v>59</v>
      </c>
      <c r="D9" s="35">
        <v>1112223344</v>
      </c>
    </row>
    <row r="10" spans="1:4" ht="17.25" x14ac:dyDescent="0.3">
      <c r="C10" s="14" t="s">
        <v>60</v>
      </c>
      <c r="D10" s="35" t="s">
        <v>70</v>
      </c>
    </row>
    <row r="11" spans="1:4" ht="17.25" x14ac:dyDescent="0.3">
      <c r="C11" s="14" t="s">
        <v>61</v>
      </c>
      <c r="D11" s="36">
        <v>1234567</v>
      </c>
    </row>
    <row r="12" spans="1:4" ht="17.25" x14ac:dyDescent="0.3">
      <c r="C12" s="14" t="s">
        <v>62</v>
      </c>
      <c r="D12" s="37">
        <v>999990000</v>
      </c>
    </row>
    <row r="13" spans="1:4" ht="17.25" x14ac:dyDescent="0.3">
      <c r="C13" s="14" t="s">
        <v>63</v>
      </c>
      <c r="D13" s="38" t="s">
        <v>71</v>
      </c>
    </row>
    <row r="14" spans="1:4" ht="17.25" x14ac:dyDescent="0.3">
      <c r="C14" s="14" t="s">
        <v>65</v>
      </c>
      <c r="D14" s="35" t="s">
        <v>72</v>
      </c>
    </row>
    <row r="15" spans="1:4" ht="17.25" x14ac:dyDescent="0.3">
      <c r="C15" s="14" t="s">
        <v>64</v>
      </c>
      <c r="D15" s="33">
        <v>12345678900</v>
      </c>
    </row>
    <row r="16" spans="1:4" ht="17.25" x14ac:dyDescent="0.3">
      <c r="C16" s="14" t="s">
        <v>67</v>
      </c>
      <c r="D16" s="35" t="s">
        <v>73</v>
      </c>
    </row>
    <row r="17" spans="3:4" ht="34.5" x14ac:dyDescent="0.3">
      <c r="C17" s="15" t="s">
        <v>66</v>
      </c>
      <c r="D17" s="39" t="s">
        <v>73</v>
      </c>
    </row>
  </sheetData>
  <dataValidations count="1">
    <dataValidation type="list" allowBlank="1" showInputMessage="1" showErrorMessage="1" sqref="D16 D17" xr:uid="{323EE4E8-3993-486D-8A1C-D089B6132634}">
      <formula1>"SIM, NÃO"</formula1>
    </dataValidation>
  </dataValidations>
  <hyperlinks>
    <hyperlink ref="D13" r:id="rId1" xr:uid="{E0E5F6F8-7306-4310-979F-BCE300D76801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81658-F473-4CF3-80BD-5438FF92EA08}">
  <dimension ref="A2:H20"/>
  <sheetViews>
    <sheetView showGridLines="0" showRowColHeaders="0" workbookViewId="0"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6.5" x14ac:dyDescent="0.3"/>
  <cols>
    <col min="1" max="1" width="27.5703125" style="12" customWidth="1"/>
    <col min="2" max="2" width="9.140625" style="10"/>
    <col min="3" max="3" width="5.85546875" style="10" customWidth="1"/>
    <col min="4" max="4" width="38.140625" style="10" customWidth="1"/>
    <col min="5" max="5" width="23" style="10" bestFit="1" customWidth="1"/>
    <col min="6" max="7" width="18.42578125" style="10" customWidth="1"/>
    <col min="8" max="8" width="25.140625" style="10" customWidth="1"/>
    <col min="9" max="16384" width="9.140625" style="10"/>
  </cols>
  <sheetData>
    <row r="2" spans="1:8" ht="19.5" customHeight="1" x14ac:dyDescent="0.6">
      <c r="A2" s="9"/>
    </row>
    <row r="3" spans="1:8" ht="26.25" thickBot="1" x14ac:dyDescent="0.55000000000000004">
      <c r="C3" s="18" t="s">
        <v>74</v>
      </c>
      <c r="D3" s="13"/>
      <c r="E3" s="13"/>
      <c r="F3" s="13"/>
      <c r="G3" s="13"/>
      <c r="H3" s="13"/>
    </row>
    <row r="4" spans="1:8" ht="17.25" thickTop="1" x14ac:dyDescent="0.3"/>
    <row r="6" spans="1:8" ht="17.25" x14ac:dyDescent="0.3">
      <c r="D6" s="30" t="s">
        <v>75</v>
      </c>
      <c r="E6" s="28">
        <f>SUM(G11:G20)</f>
        <v>356542</v>
      </c>
    </row>
    <row r="7" spans="1:8" ht="17.25" x14ac:dyDescent="0.3">
      <c r="D7" s="30" t="s">
        <v>76</v>
      </c>
      <c r="E7" s="29">
        <f>COUNTA(D11:D20)</f>
        <v>4</v>
      </c>
    </row>
    <row r="10" spans="1:8" ht="33" x14ac:dyDescent="0.3">
      <c r="C10" s="21" t="s">
        <v>77</v>
      </c>
      <c r="D10" s="21" t="s">
        <v>78</v>
      </c>
      <c r="E10" s="21" t="s">
        <v>80</v>
      </c>
      <c r="F10" s="22" t="str">
        <f>"SALDO EM 31/12/"&amp;TITULAR!D5-1</f>
        <v>SALDO EM 31/12/2024</v>
      </c>
      <c r="G10" s="22" t="str">
        <f>"SALDO EM 31/12/"&amp;TITULAR!D5</f>
        <v>SALDO EM 31/12/2025</v>
      </c>
      <c r="H10" s="22" t="s">
        <v>89</v>
      </c>
    </row>
    <row r="11" spans="1:8" ht="19.5" customHeight="1" x14ac:dyDescent="0.3">
      <c r="C11" s="24">
        <v>1</v>
      </c>
      <c r="D11" s="24" t="s">
        <v>0</v>
      </c>
      <c r="E11" s="24" t="s">
        <v>81</v>
      </c>
      <c r="F11" s="26">
        <v>100000</v>
      </c>
      <c r="G11" s="26">
        <v>250000</v>
      </c>
      <c r="H11" s="24"/>
    </row>
    <row r="12" spans="1:8" s="20" customFormat="1" ht="19.5" customHeight="1" x14ac:dyDescent="0.3">
      <c r="A12" s="19"/>
      <c r="C12" s="25">
        <v>2</v>
      </c>
      <c r="D12" s="25" t="s">
        <v>4</v>
      </c>
      <c r="E12" s="25" t="s">
        <v>84</v>
      </c>
      <c r="F12" s="27">
        <v>12345</v>
      </c>
      <c r="G12" s="27">
        <v>76543</v>
      </c>
      <c r="H12" s="25" t="s">
        <v>90</v>
      </c>
    </row>
    <row r="13" spans="1:8" ht="19.5" customHeight="1" x14ac:dyDescent="0.3">
      <c r="C13" s="25">
        <v>3</v>
      </c>
      <c r="D13" s="25" t="s">
        <v>6</v>
      </c>
      <c r="E13" s="25" t="s">
        <v>86</v>
      </c>
      <c r="F13" s="27">
        <v>11111</v>
      </c>
      <c r="G13" s="27">
        <v>22222</v>
      </c>
      <c r="H13" s="25" t="s">
        <v>91</v>
      </c>
    </row>
    <row r="14" spans="1:8" ht="19.5" customHeight="1" x14ac:dyDescent="0.3">
      <c r="C14" s="25">
        <v>4</v>
      </c>
      <c r="D14" s="25" t="s">
        <v>6</v>
      </c>
      <c r="E14" s="25" t="s">
        <v>86</v>
      </c>
      <c r="F14" s="27">
        <v>5555</v>
      </c>
      <c r="G14" s="27">
        <v>7777</v>
      </c>
      <c r="H14" s="25" t="s">
        <v>92</v>
      </c>
    </row>
    <row r="15" spans="1:8" ht="19.5" customHeight="1" x14ac:dyDescent="0.3">
      <c r="C15" s="25">
        <v>5</v>
      </c>
      <c r="D15" s="25"/>
      <c r="E15" s="25"/>
      <c r="F15" s="27"/>
      <c r="G15" s="27"/>
      <c r="H15" s="25"/>
    </row>
    <row r="16" spans="1:8" ht="19.5" customHeight="1" x14ac:dyDescent="0.3">
      <c r="C16" s="25">
        <v>6</v>
      </c>
      <c r="D16" s="25"/>
      <c r="E16" s="25"/>
      <c r="F16" s="27"/>
      <c r="G16" s="27"/>
      <c r="H16" s="25"/>
    </row>
    <row r="17" spans="3:8" ht="19.5" customHeight="1" x14ac:dyDescent="0.3">
      <c r="C17" s="25">
        <v>7</v>
      </c>
      <c r="D17" s="25"/>
      <c r="E17" s="25"/>
      <c r="F17" s="27"/>
      <c r="G17" s="27"/>
      <c r="H17" s="25"/>
    </row>
    <row r="18" spans="3:8" ht="19.5" customHeight="1" x14ac:dyDescent="0.3">
      <c r="C18" s="25">
        <v>8</v>
      </c>
      <c r="D18" s="25"/>
      <c r="E18" s="25"/>
      <c r="F18" s="27"/>
      <c r="G18" s="27"/>
      <c r="H18" s="25"/>
    </row>
    <row r="19" spans="3:8" ht="19.5" customHeight="1" x14ac:dyDescent="0.3">
      <c r="C19" s="25">
        <v>9</v>
      </c>
      <c r="D19" s="25"/>
      <c r="E19" s="25"/>
      <c r="F19" s="27"/>
      <c r="G19" s="27"/>
      <c r="H19" s="25"/>
    </row>
    <row r="20" spans="3:8" ht="19.5" customHeight="1" x14ac:dyDescent="0.3">
      <c r="C20" s="25">
        <v>10</v>
      </c>
      <c r="D20" s="25"/>
      <c r="E20" s="25"/>
      <c r="F20" s="27"/>
      <c r="G20" s="27"/>
      <c r="H20" s="25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AAAF1A0-040B-4DC4-B7DB-03F3D40261ED}">
          <x14:formula1>
            <xm:f>Apoio!$A$2:$A$51</xm:f>
          </x14:formula1>
          <xm:sqref>D11:D20</xm:sqref>
        </x14:dataValidation>
        <x14:dataValidation type="list" allowBlank="1" showInputMessage="1" showErrorMessage="1" xr:uid="{92ED36CC-7126-4F32-8C0F-78A771846D9F}">
          <x14:formula1>
            <xm:f>Apoio!$B$2:$B$9</xm:f>
          </x14:formula1>
          <xm:sqref>E11:E20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0552C-E795-4DDA-80BB-0BB52D6473CA}">
  <dimension ref="A2:H33"/>
  <sheetViews>
    <sheetView showGridLines="0" showRowColHeaders="0" workbookViewId="0">
      <selection activeCell="M19" sqref="M19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27.5703125" style="8" customWidth="1"/>
    <col min="3" max="3" width="11.7109375" customWidth="1"/>
    <col min="4" max="4" width="17.5703125" customWidth="1"/>
    <col min="5" max="5" width="24.140625" customWidth="1"/>
    <col min="6" max="6" width="18.28515625" customWidth="1"/>
  </cols>
  <sheetData>
    <row r="2" spans="1:8" ht="19.5" customHeight="1" x14ac:dyDescent="0.45">
      <c r="A2" s="7"/>
      <c r="C2" s="10"/>
      <c r="D2" s="10"/>
      <c r="E2" s="10"/>
      <c r="F2" s="10"/>
      <c r="G2" s="10"/>
      <c r="H2" s="10"/>
    </row>
    <row r="3" spans="1:8" ht="26.25" thickBot="1" x14ac:dyDescent="0.55000000000000004">
      <c r="C3" s="18" t="s">
        <v>93</v>
      </c>
      <c r="D3" s="13"/>
      <c r="E3" s="13"/>
      <c r="F3" s="13"/>
    </row>
    <row r="4" spans="1:8" ht="17.25" thickTop="1" x14ac:dyDescent="0.3">
      <c r="C4" s="10"/>
      <c r="D4" s="10"/>
      <c r="E4" s="10"/>
      <c r="F4" s="10"/>
    </row>
    <row r="5" spans="1:8" ht="17.25" x14ac:dyDescent="0.3">
      <c r="C5" s="53" t="s">
        <v>101</v>
      </c>
      <c r="D5" s="53"/>
      <c r="E5" s="53"/>
      <c r="F5" s="28">
        <f>SUM(E14:E32)</f>
        <v>22200</v>
      </c>
    </row>
    <row r="6" spans="1:8" ht="17.25" x14ac:dyDescent="0.3">
      <c r="C6" s="53" t="s">
        <v>105</v>
      </c>
      <c r="D6" s="53"/>
      <c r="E6" s="53"/>
      <c r="F6" s="28">
        <f>SUMIF(D14:D32,C6,E14:E32)</f>
        <v>10200</v>
      </c>
    </row>
    <row r="7" spans="1:8" ht="17.25" x14ac:dyDescent="0.3">
      <c r="C7" s="53" t="s">
        <v>98</v>
      </c>
      <c r="D7" s="53"/>
      <c r="E7" s="53"/>
      <c r="F7" s="28">
        <f>SUMIF(D14:D32,C7,E14:E32)</f>
        <v>12000</v>
      </c>
    </row>
    <row r="8" spans="1:8" ht="17.25" x14ac:dyDescent="0.3">
      <c r="C8" s="53" t="s">
        <v>102</v>
      </c>
      <c r="D8" s="53"/>
      <c r="E8" s="53"/>
      <c r="F8" s="28">
        <f>SUMIF(D14:D32,C8,E14:E32)</f>
        <v>0</v>
      </c>
    </row>
    <row r="9" spans="1:8" ht="17.25" x14ac:dyDescent="0.3">
      <c r="C9" s="53" t="s">
        <v>104</v>
      </c>
      <c r="D9" s="53"/>
      <c r="E9" s="53"/>
      <c r="F9" s="28">
        <f>SUM(F14:F32)</f>
        <v>191</v>
      </c>
    </row>
    <row r="10" spans="1:8" ht="17.25" x14ac:dyDescent="0.3">
      <c r="C10" s="53" t="s">
        <v>103</v>
      </c>
      <c r="D10" s="53"/>
      <c r="E10" s="53"/>
      <c r="F10" s="29">
        <f>COUNTA(D14:D32)</f>
        <v>4</v>
      </c>
    </row>
    <row r="11" spans="1:8" ht="16.5" x14ac:dyDescent="0.3">
      <c r="C11" s="10"/>
      <c r="D11" s="10"/>
      <c r="E11" s="10"/>
      <c r="F11" s="10"/>
    </row>
    <row r="12" spans="1:8" ht="16.5" x14ac:dyDescent="0.3">
      <c r="C12" s="10"/>
      <c r="D12" s="10"/>
      <c r="E12" s="10"/>
      <c r="F12" s="10"/>
    </row>
    <row r="13" spans="1:8" ht="19.5" customHeight="1" x14ac:dyDescent="0.25">
      <c r="C13" s="21" t="s">
        <v>94</v>
      </c>
      <c r="D13" s="21" t="s">
        <v>95</v>
      </c>
      <c r="E13" s="21" t="s">
        <v>96</v>
      </c>
      <c r="F13" s="21" t="s">
        <v>100</v>
      </c>
    </row>
    <row r="14" spans="1:8" ht="19.5" customHeight="1" x14ac:dyDescent="0.25">
      <c r="C14" s="40">
        <v>45658</v>
      </c>
      <c r="D14" s="41" t="s">
        <v>97</v>
      </c>
      <c r="E14" s="42">
        <v>5000</v>
      </c>
      <c r="F14" s="42">
        <v>91</v>
      </c>
    </row>
    <row r="15" spans="1:8" ht="19.5" customHeight="1" x14ac:dyDescent="0.25">
      <c r="C15" s="43">
        <v>45658</v>
      </c>
      <c r="D15" s="44" t="s">
        <v>98</v>
      </c>
      <c r="E15" s="45">
        <v>10000</v>
      </c>
      <c r="F15" s="45">
        <v>0</v>
      </c>
    </row>
    <row r="16" spans="1:8" ht="19.5" customHeight="1" x14ac:dyDescent="0.25">
      <c r="C16" s="43">
        <v>45689</v>
      </c>
      <c r="D16" s="44" t="s">
        <v>97</v>
      </c>
      <c r="E16" s="45">
        <v>5200</v>
      </c>
      <c r="F16" s="45">
        <v>100</v>
      </c>
    </row>
    <row r="17" spans="3:6" ht="19.5" customHeight="1" x14ac:dyDescent="0.25">
      <c r="C17" s="43">
        <v>45717</v>
      </c>
      <c r="D17" s="44" t="s">
        <v>98</v>
      </c>
      <c r="E17" s="45">
        <v>2000</v>
      </c>
      <c r="F17" s="45">
        <v>0</v>
      </c>
    </row>
    <row r="18" spans="3:6" ht="19.5" customHeight="1" x14ac:dyDescent="0.25">
      <c r="C18" s="43"/>
      <c r="D18" s="44"/>
      <c r="E18" s="45"/>
      <c r="F18" s="45"/>
    </row>
    <row r="19" spans="3:6" ht="19.5" customHeight="1" x14ac:dyDescent="0.25">
      <c r="C19" s="43"/>
      <c r="D19" s="44"/>
      <c r="E19" s="45"/>
      <c r="F19" s="45"/>
    </row>
    <row r="20" spans="3:6" ht="19.5" customHeight="1" x14ac:dyDescent="0.25">
      <c r="C20" s="43"/>
      <c r="D20" s="44"/>
      <c r="E20" s="45"/>
      <c r="F20" s="45"/>
    </row>
    <row r="21" spans="3:6" ht="19.5" customHeight="1" x14ac:dyDescent="0.25">
      <c r="C21" s="43"/>
      <c r="D21" s="44"/>
      <c r="E21" s="45"/>
      <c r="F21" s="45"/>
    </row>
    <row r="22" spans="3:6" ht="19.5" customHeight="1" x14ac:dyDescent="0.25">
      <c r="C22" s="43"/>
      <c r="D22" s="44"/>
      <c r="E22" s="45"/>
      <c r="F22" s="45"/>
    </row>
    <row r="23" spans="3:6" ht="19.5" customHeight="1" x14ac:dyDescent="0.25">
      <c r="C23" s="43"/>
      <c r="D23" s="44"/>
      <c r="E23" s="45"/>
      <c r="F23" s="45"/>
    </row>
    <row r="24" spans="3:6" ht="19.5" customHeight="1" x14ac:dyDescent="0.25">
      <c r="C24" s="43"/>
      <c r="D24" s="44"/>
      <c r="E24" s="45"/>
      <c r="F24" s="45"/>
    </row>
    <row r="25" spans="3:6" ht="19.5" customHeight="1" x14ac:dyDescent="0.25">
      <c r="C25" s="43"/>
      <c r="D25" s="44"/>
      <c r="E25" s="45"/>
      <c r="F25" s="45"/>
    </row>
    <row r="26" spans="3:6" ht="19.5" customHeight="1" x14ac:dyDescent="0.25">
      <c r="C26" s="43"/>
      <c r="D26" s="44"/>
      <c r="E26" s="45"/>
      <c r="F26" s="45"/>
    </row>
    <row r="27" spans="3:6" ht="19.5" customHeight="1" x14ac:dyDescent="0.25">
      <c r="C27" s="43"/>
      <c r="D27" s="44"/>
      <c r="E27" s="45"/>
      <c r="F27" s="45"/>
    </row>
    <row r="28" spans="3:6" ht="19.5" customHeight="1" x14ac:dyDescent="0.25">
      <c r="C28" s="43"/>
      <c r="D28" s="44"/>
      <c r="E28" s="45"/>
      <c r="F28" s="45"/>
    </row>
    <row r="29" spans="3:6" ht="19.5" customHeight="1" x14ac:dyDescent="0.25">
      <c r="C29" s="43"/>
      <c r="D29" s="44"/>
      <c r="E29" s="45"/>
      <c r="F29" s="45"/>
    </row>
    <row r="30" spans="3:6" ht="19.5" customHeight="1" x14ac:dyDescent="0.25">
      <c r="C30" s="43"/>
      <c r="D30" s="44"/>
      <c r="E30" s="45"/>
      <c r="F30" s="45"/>
    </row>
    <row r="31" spans="3:6" ht="19.5" customHeight="1" x14ac:dyDescent="0.3">
      <c r="C31" s="46"/>
      <c r="D31" s="47"/>
      <c r="E31" s="48"/>
      <c r="F31" s="45"/>
    </row>
    <row r="32" spans="3:6" ht="19.5" customHeight="1" x14ac:dyDescent="0.3">
      <c r="C32" s="49"/>
      <c r="D32" s="50"/>
      <c r="E32" s="51"/>
      <c r="F32" s="45"/>
    </row>
    <row r="33" spans="3:6" ht="16.5" x14ac:dyDescent="0.3">
      <c r="C33" s="52"/>
      <c r="D33" s="10"/>
      <c r="E33" s="10"/>
      <c r="F33" s="10"/>
    </row>
  </sheetData>
  <mergeCells count="6">
    <mergeCell ref="C10:E10"/>
    <mergeCell ref="C5:E5"/>
    <mergeCell ref="C6:E6"/>
    <mergeCell ref="C7:E7"/>
    <mergeCell ref="C8:E8"/>
    <mergeCell ref="C9:E9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209B30D5-F376-4A35-98B7-DA09C2064FAC}">
          <x14:formula1>
            <xm:f>Apoio!$C$2:$C$4</xm:f>
          </x14:formula1>
          <xm:sqref>D14:D32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1045A-8D89-45D0-9982-9987B281D318}">
  <dimension ref="A1:E51"/>
  <sheetViews>
    <sheetView workbookViewId="0">
      <selection activeCell="C5" sqref="C5"/>
    </sheetView>
  </sheetViews>
  <sheetFormatPr defaultRowHeight="15" x14ac:dyDescent="0.25"/>
  <cols>
    <col min="1" max="1" width="39" bestFit="1" customWidth="1"/>
    <col min="2" max="3" width="32.7109375" customWidth="1"/>
  </cols>
  <sheetData>
    <row r="1" spans="1:5" x14ac:dyDescent="0.25">
      <c r="A1" s="1" t="s">
        <v>50</v>
      </c>
      <c r="B1" s="1" t="s">
        <v>80</v>
      </c>
      <c r="C1" s="1" t="s">
        <v>95</v>
      </c>
      <c r="D1" s="2" t="s">
        <v>51</v>
      </c>
    </row>
    <row r="2" spans="1:5" x14ac:dyDescent="0.25">
      <c r="A2" t="s">
        <v>0</v>
      </c>
      <c r="B2" s="23" t="s">
        <v>81</v>
      </c>
      <c r="C2" s="23" t="s">
        <v>97</v>
      </c>
      <c r="D2" t="s">
        <v>52</v>
      </c>
      <c r="E2" s="3"/>
    </row>
    <row r="3" spans="1:5" x14ac:dyDescent="0.25">
      <c r="A3" t="s">
        <v>1</v>
      </c>
      <c r="B3" s="23" t="s">
        <v>82</v>
      </c>
      <c r="C3" s="23" t="s">
        <v>98</v>
      </c>
      <c r="D3" t="s">
        <v>53</v>
      </c>
      <c r="E3" s="4"/>
    </row>
    <row r="4" spans="1:5" x14ac:dyDescent="0.25">
      <c r="A4" t="s">
        <v>2</v>
      </c>
      <c r="B4" s="23" t="s">
        <v>83</v>
      </c>
      <c r="C4" s="23" t="s">
        <v>99</v>
      </c>
      <c r="D4" t="s">
        <v>54</v>
      </c>
      <c r="E4" s="5"/>
    </row>
    <row r="5" spans="1:5" x14ac:dyDescent="0.25">
      <c r="A5" t="s">
        <v>3</v>
      </c>
      <c r="B5" s="23" t="s">
        <v>84</v>
      </c>
      <c r="C5" s="23"/>
      <c r="D5" t="s">
        <v>55</v>
      </c>
      <c r="E5" s="6"/>
    </row>
    <row r="6" spans="1:5" x14ac:dyDescent="0.25">
      <c r="A6" t="s">
        <v>4</v>
      </c>
      <c r="B6" s="23" t="s">
        <v>85</v>
      </c>
      <c r="C6" s="23"/>
    </row>
    <row r="7" spans="1:5" x14ac:dyDescent="0.25">
      <c r="A7" t="s">
        <v>5</v>
      </c>
      <c r="B7" s="23" t="s">
        <v>86</v>
      </c>
      <c r="C7" s="23"/>
    </row>
    <row r="8" spans="1:5" x14ac:dyDescent="0.25">
      <c r="A8" t="s">
        <v>6</v>
      </c>
      <c r="B8" s="23" t="s">
        <v>87</v>
      </c>
      <c r="C8" s="23"/>
    </row>
    <row r="9" spans="1:5" x14ac:dyDescent="0.25">
      <c r="A9" t="s">
        <v>7</v>
      </c>
      <c r="B9" s="23" t="s">
        <v>88</v>
      </c>
      <c r="C9" s="23"/>
    </row>
    <row r="10" spans="1:5" x14ac:dyDescent="0.25">
      <c r="A10" t="s">
        <v>8</v>
      </c>
    </row>
    <row r="11" spans="1:5" x14ac:dyDescent="0.25">
      <c r="A11" t="s">
        <v>9</v>
      </c>
    </row>
    <row r="12" spans="1:5" x14ac:dyDescent="0.25">
      <c r="A12" t="s">
        <v>10</v>
      </c>
    </row>
    <row r="13" spans="1:5" x14ac:dyDescent="0.25">
      <c r="A13" t="s">
        <v>11</v>
      </c>
    </row>
    <row r="14" spans="1:5" x14ac:dyDescent="0.25">
      <c r="A14" t="s">
        <v>12</v>
      </c>
    </row>
    <row r="15" spans="1:5" x14ac:dyDescent="0.25">
      <c r="A15" t="s">
        <v>13</v>
      </c>
    </row>
    <row r="16" spans="1:5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Apoio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2026-10-02T13:11:53Z</dcterms:created>
  <dcterms:modified xsi:type="dcterms:W3CDTF">2026-10-07T20:30:24Z</dcterms:modified>
</cp:coreProperties>
</file>